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jsluka_iu_edu/Documents/Desktop/Work/Watanabe ovary 2021/MOTHER/Manuscripts in preparation/AIML Follicle Manuscript/"/>
    </mc:Choice>
  </mc:AlternateContent>
  <xr:revisionPtr revIDLastSave="6" documentId="8_{A9B618B8-6A7A-4911-AE55-163B32D16F53}" xr6:coauthVersionLast="47" xr6:coauthVersionMax="47" xr10:uidLastSave="{C9A9883D-9F66-48D9-A96E-438CAEFC5091}"/>
  <bookViews>
    <workbookView xWindow="30000" yWindow="690" windowWidth="25890" windowHeight="16095" xr2:uid="{51063A23-7129-4CE2-AF35-05EA3CF97DBF}"/>
  </bookViews>
  <sheets>
    <sheet name="Info" sheetId="1" r:id="rId1"/>
    <sheet name="Figure_6A" sheetId="2" r:id="rId2"/>
    <sheet name="Figure_6B" sheetId="3" r:id="rId3"/>
    <sheet name="Figure_S7F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" i="4" l="1"/>
  <c r="L9" i="4"/>
  <c r="L8" i="4"/>
  <c r="L7" i="4"/>
  <c r="L6" i="4"/>
  <c r="L5" i="4"/>
  <c r="L4" i="4"/>
  <c r="L11" i="4" s="1"/>
  <c r="L10" i="3"/>
  <c r="L9" i="3"/>
  <c r="L8" i="3"/>
  <c r="L7" i="3"/>
  <c r="L6" i="3"/>
  <c r="L5" i="3"/>
  <c r="L4" i="3"/>
  <c r="L11" i="3" s="1"/>
  <c r="L11" i="2"/>
  <c r="L10" i="2"/>
  <c r="L9" i="2"/>
  <c r="L8" i="2"/>
  <c r="L7" i="2"/>
  <c r="L6" i="2"/>
  <c r="L5" i="2"/>
  <c r="L4" i="2"/>
</calcChain>
</file>

<file path=xl/sharedStrings.xml><?xml version="1.0" encoding="utf-8"?>
<sst xmlns="http://schemas.openxmlformats.org/spreadsheetml/2006/main" count="73" uniqueCount="28">
  <si>
    <t>Tab in this workbook</t>
  </si>
  <si>
    <t>Description</t>
  </si>
  <si>
    <t>Confusion Matrices for the data shown in the paper</t>
  </si>
  <si>
    <t>Figure in paper</t>
  </si>
  <si>
    <t>Figure 6A</t>
  </si>
  <si>
    <t>Figure 6B</t>
  </si>
  <si>
    <t>Confusion matrix data for the Test data set</t>
  </si>
  <si>
    <t>Confusion matrix data for the Validate data set</t>
  </si>
  <si>
    <t>Figure S7F1 (supplement)</t>
  </si>
  <si>
    <t>Confusion matrix data for the Training data set</t>
  </si>
  <si>
    <t>Figure_6B</t>
  </si>
  <si>
    <t>Figure_S7F1</t>
  </si>
  <si>
    <t>Figure_6A</t>
  </si>
  <si>
    <t>Predicted</t>
  </si>
  <si>
    <t>Negative</t>
  </si>
  <si>
    <t>Primordial</t>
  </si>
  <si>
    <t>Transitional Primordial</t>
  </si>
  <si>
    <t>Primary</t>
  </si>
  <si>
    <t>Transitional Primary</t>
  </si>
  <si>
    <t>Secondary</t>
  </si>
  <si>
    <t>Multilayer</t>
  </si>
  <si>
    <t>Row Sum</t>
  </si>
  <si>
    <t>Actual</t>
  </si>
  <si>
    <t>Note that a row sum is the count for the actual class</t>
  </si>
  <si>
    <t>Total=</t>
  </si>
  <si>
    <t>Training Data</t>
  </si>
  <si>
    <t>Test Data</t>
  </si>
  <si>
    <t>Validate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</si>
</sst>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4" fillId="0" borderId="7" xfId="0" applyFont="1" applyBorder="1" applyAlignment="1">
      <alignment horizontal="right" wrapText="1"/>
    </xf>
    <xf numFmtId="0" fontId="6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8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5" fillId="0" borderId="9" xfId="0" applyFont="1" applyBorder="1" applyAlignment="1">
      <alignment horizontal="right"/>
    </xf>
    <xf numFmtId="0" fontId="3" fillId="0" borderId="5" xfId="0" applyFont="1" applyBorder="1" applyAlignment="1">
      <alignment horizontal="center" vertical="center" textRotation="90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7D93-769B-4A2B-90E7-CAC19B242669}">
  <dimension ref="A1:C5"/>
  <sheetViews>
    <sheetView tabSelected="1" workbookViewId="0">
      <selection activeCell="C11" sqref="C11"/>
    </sheetView>
  </sheetViews>
  <sheetFormatPr defaultRowHeight="14.4" x14ac:dyDescent="0.3"/>
  <cols>
    <col min="1" max="1" width="21.109375" customWidth="1"/>
    <col min="2" max="2" width="25.5546875" customWidth="1"/>
    <col min="3" max="3" width="42.5546875" customWidth="1"/>
  </cols>
  <sheetData>
    <row r="1" spans="1:3" s="32" customFormat="1" ht="43.8" customHeight="1" x14ac:dyDescent="0.3">
      <c r="A1" s="31" t="s">
        <v>2</v>
      </c>
    </row>
    <row r="2" spans="1:3" s="29" customFormat="1" ht="15.6" x14ac:dyDescent="0.3">
      <c r="A2" s="33" t="s">
        <v>0</v>
      </c>
      <c r="B2" s="33" t="s">
        <v>3</v>
      </c>
      <c r="C2" s="33" t="s">
        <v>1</v>
      </c>
    </row>
    <row r="3" spans="1:3" x14ac:dyDescent="0.3">
      <c r="A3" t="s">
        <v>12</v>
      </c>
      <c r="B3" t="s">
        <v>4</v>
      </c>
      <c r="C3" t="s">
        <v>6</v>
      </c>
    </row>
    <row r="4" spans="1:3" x14ac:dyDescent="0.3">
      <c r="A4" t="s">
        <v>10</v>
      </c>
      <c r="B4" t="s">
        <v>5</v>
      </c>
      <c r="C4" t="s">
        <v>7</v>
      </c>
    </row>
    <row r="5" spans="1:3" x14ac:dyDescent="0.3">
      <c r="A5" t="s">
        <v>11</v>
      </c>
      <c r="B5" t="s">
        <v>8</v>
      </c>
      <c r="C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99E9-6B7B-448B-81B7-A69158543E2E}">
  <dimension ref="A1:L11"/>
  <sheetViews>
    <sheetView workbookViewId="0">
      <selection activeCell="A2" sqref="A2"/>
    </sheetView>
  </sheetViews>
  <sheetFormatPr defaultRowHeight="14.4" x14ac:dyDescent="0.3"/>
  <sheetData>
    <row r="1" spans="1:12" ht="21.6" thickBot="1" x14ac:dyDescent="0.45">
      <c r="A1" s="30" t="s">
        <v>26</v>
      </c>
    </row>
    <row r="2" spans="1:12" ht="18" x14ac:dyDescent="0.35">
      <c r="E2" s="1" t="s">
        <v>13</v>
      </c>
      <c r="F2" s="2"/>
      <c r="G2" s="2"/>
      <c r="H2" s="2"/>
      <c r="I2" s="2"/>
      <c r="J2" s="2"/>
      <c r="K2" s="3"/>
    </row>
    <row r="3" spans="1:12" ht="28.2" thickBot="1" x14ac:dyDescent="0.35">
      <c r="E3" s="4" t="s">
        <v>14</v>
      </c>
      <c r="F3" s="5" t="s">
        <v>15</v>
      </c>
      <c r="G3" s="6" t="s">
        <v>16</v>
      </c>
      <c r="H3" s="5" t="s">
        <v>17</v>
      </c>
      <c r="I3" s="5" t="s">
        <v>18</v>
      </c>
      <c r="J3" s="5" t="s">
        <v>19</v>
      </c>
      <c r="K3" s="7" t="s">
        <v>20</v>
      </c>
      <c r="L3" s="8" t="s">
        <v>21</v>
      </c>
    </row>
    <row r="4" spans="1:12" x14ac:dyDescent="0.3">
      <c r="B4" s="9" t="s">
        <v>22</v>
      </c>
      <c r="C4" s="10">
        <v>0</v>
      </c>
      <c r="D4" s="11" t="s">
        <v>14</v>
      </c>
      <c r="E4" s="12">
        <v>295805</v>
      </c>
      <c r="F4" s="13">
        <v>353</v>
      </c>
      <c r="G4" s="13">
        <v>1219</v>
      </c>
      <c r="H4" s="13">
        <v>16</v>
      </c>
      <c r="I4" s="13">
        <v>263</v>
      </c>
      <c r="J4" s="13">
        <v>86</v>
      </c>
      <c r="K4" s="14">
        <v>242</v>
      </c>
      <c r="L4" s="8">
        <f>SUM(E4:K4)</f>
        <v>297984</v>
      </c>
    </row>
    <row r="5" spans="1:12" x14ac:dyDescent="0.3">
      <c r="B5" s="15"/>
      <c r="C5" s="16">
        <v>1</v>
      </c>
      <c r="D5" s="17" t="s">
        <v>15</v>
      </c>
      <c r="E5" s="18">
        <v>273</v>
      </c>
      <c r="F5">
        <v>13776</v>
      </c>
      <c r="G5">
        <v>10511</v>
      </c>
      <c r="H5">
        <v>0</v>
      </c>
      <c r="I5">
        <v>12</v>
      </c>
      <c r="J5">
        <v>4</v>
      </c>
      <c r="K5" s="19">
        <v>0</v>
      </c>
      <c r="L5" s="8">
        <f t="shared" ref="L5:L10" si="0">SUM(E5:K5)</f>
        <v>24576</v>
      </c>
    </row>
    <row r="6" spans="1:12" x14ac:dyDescent="0.3">
      <c r="B6" s="15"/>
      <c r="C6" s="16">
        <v>2</v>
      </c>
      <c r="D6" s="20" t="s">
        <v>16</v>
      </c>
      <c r="E6" s="18">
        <v>570</v>
      </c>
      <c r="F6">
        <v>5796</v>
      </c>
      <c r="G6">
        <v>37651</v>
      </c>
      <c r="H6">
        <v>671</v>
      </c>
      <c r="I6">
        <v>375</v>
      </c>
      <c r="J6">
        <v>9</v>
      </c>
      <c r="K6" s="19">
        <v>0</v>
      </c>
      <c r="L6" s="8">
        <f t="shared" si="0"/>
        <v>45072</v>
      </c>
    </row>
    <row r="7" spans="1:12" x14ac:dyDescent="0.3">
      <c r="B7" s="15"/>
      <c r="C7" s="16">
        <v>3</v>
      </c>
      <c r="D7" s="17" t="s">
        <v>17</v>
      </c>
      <c r="E7" s="18">
        <v>54</v>
      </c>
      <c r="F7">
        <v>30</v>
      </c>
      <c r="G7">
        <v>1035</v>
      </c>
      <c r="H7">
        <v>968</v>
      </c>
      <c r="I7">
        <v>313</v>
      </c>
      <c r="J7">
        <v>0</v>
      </c>
      <c r="K7" s="19">
        <v>0</v>
      </c>
      <c r="L7" s="8">
        <f t="shared" si="0"/>
        <v>2400</v>
      </c>
    </row>
    <row r="8" spans="1:12" x14ac:dyDescent="0.3">
      <c r="B8" s="15"/>
      <c r="C8" s="16">
        <v>4</v>
      </c>
      <c r="D8" s="20" t="s">
        <v>18</v>
      </c>
      <c r="E8" s="18">
        <v>20</v>
      </c>
      <c r="F8">
        <v>3</v>
      </c>
      <c r="G8">
        <v>340</v>
      </c>
      <c r="H8">
        <v>369</v>
      </c>
      <c r="I8">
        <v>1292</v>
      </c>
      <c r="J8">
        <v>274</v>
      </c>
      <c r="K8" s="19">
        <v>54</v>
      </c>
      <c r="L8" s="8">
        <f t="shared" si="0"/>
        <v>2352</v>
      </c>
    </row>
    <row r="9" spans="1:12" x14ac:dyDescent="0.3">
      <c r="B9" s="15"/>
      <c r="C9" s="16">
        <v>5</v>
      </c>
      <c r="D9" s="17" t="s">
        <v>19</v>
      </c>
      <c r="E9" s="18">
        <v>10</v>
      </c>
      <c r="F9">
        <v>0</v>
      </c>
      <c r="G9">
        <v>48</v>
      </c>
      <c r="H9">
        <v>0</v>
      </c>
      <c r="I9">
        <v>78</v>
      </c>
      <c r="J9">
        <v>624</v>
      </c>
      <c r="K9" s="19">
        <v>152</v>
      </c>
      <c r="L9" s="8">
        <f t="shared" si="0"/>
        <v>912</v>
      </c>
    </row>
    <row r="10" spans="1:12" ht="15" thickBot="1" x14ac:dyDescent="0.35">
      <c r="B10" s="21"/>
      <c r="C10" s="22">
        <v>6</v>
      </c>
      <c r="D10" s="23" t="s">
        <v>20</v>
      </c>
      <c r="E10" s="24">
        <v>60</v>
      </c>
      <c r="F10" s="25">
        <v>0</v>
      </c>
      <c r="G10" s="25">
        <v>0</v>
      </c>
      <c r="H10" s="25">
        <v>0</v>
      </c>
      <c r="I10" s="25">
        <v>0</v>
      </c>
      <c r="J10" s="25">
        <v>109</v>
      </c>
      <c r="K10" s="26">
        <v>1223</v>
      </c>
      <c r="L10" s="8">
        <f t="shared" si="0"/>
        <v>1392</v>
      </c>
    </row>
    <row r="11" spans="1:12" x14ac:dyDescent="0.3">
      <c r="C11" s="16"/>
      <c r="E11" s="27" t="s">
        <v>23</v>
      </c>
      <c r="K11" s="28" t="s">
        <v>24</v>
      </c>
      <c r="L11" s="8">
        <f>SUM(L4:L10)</f>
        <v>374688</v>
      </c>
    </row>
  </sheetData>
  <mergeCells count="2">
    <mergeCell ref="E2:K2"/>
    <mergeCell ref="B4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7028-807A-45D8-9CAA-89C9EC76AA39}">
  <dimension ref="A1:L11"/>
  <sheetViews>
    <sheetView workbookViewId="0">
      <selection activeCell="F34" sqref="F34"/>
    </sheetView>
  </sheetViews>
  <sheetFormatPr defaultRowHeight="14.4" x14ac:dyDescent="0.3"/>
  <sheetData>
    <row r="1" spans="1:12" ht="21.6" thickBot="1" x14ac:dyDescent="0.45">
      <c r="A1" s="30" t="s">
        <v>27</v>
      </c>
    </row>
    <row r="2" spans="1:12" ht="18" x14ac:dyDescent="0.35">
      <c r="E2" s="1" t="s">
        <v>13</v>
      </c>
      <c r="F2" s="2"/>
      <c r="G2" s="2"/>
      <c r="H2" s="2"/>
      <c r="I2" s="2"/>
      <c r="J2" s="2"/>
      <c r="K2" s="3"/>
    </row>
    <row r="3" spans="1:12" ht="28.2" thickBot="1" x14ac:dyDescent="0.35">
      <c r="E3" s="4" t="s">
        <v>14</v>
      </c>
      <c r="F3" s="5" t="s">
        <v>15</v>
      </c>
      <c r="G3" s="6" t="s">
        <v>16</v>
      </c>
      <c r="H3" s="5" t="s">
        <v>17</v>
      </c>
      <c r="I3" s="5" t="s">
        <v>18</v>
      </c>
      <c r="J3" s="5" t="s">
        <v>19</v>
      </c>
      <c r="K3" s="7" t="s">
        <v>20</v>
      </c>
      <c r="L3" s="8" t="s">
        <v>21</v>
      </c>
    </row>
    <row r="4" spans="1:12" x14ac:dyDescent="0.3">
      <c r="B4" s="9" t="s">
        <v>22</v>
      </c>
      <c r="C4" s="10">
        <v>0</v>
      </c>
      <c r="D4" s="11" t="s">
        <v>14</v>
      </c>
      <c r="E4" s="12">
        <v>75602</v>
      </c>
      <c r="F4" s="13">
        <v>18</v>
      </c>
      <c r="G4" s="13">
        <v>337</v>
      </c>
      <c r="H4" s="13">
        <v>0</v>
      </c>
      <c r="I4" s="13">
        <v>0</v>
      </c>
      <c r="J4" s="13">
        <v>44</v>
      </c>
      <c r="K4" s="14">
        <v>31</v>
      </c>
      <c r="L4" s="8">
        <f>SUM(E4:K4)</f>
        <v>76032</v>
      </c>
    </row>
    <row r="5" spans="1:12" x14ac:dyDescent="0.3">
      <c r="B5" s="15"/>
      <c r="C5" s="16">
        <v>1</v>
      </c>
      <c r="D5" s="17" t="s">
        <v>15</v>
      </c>
      <c r="E5" s="18">
        <v>87</v>
      </c>
      <c r="F5">
        <v>3351</v>
      </c>
      <c r="G5">
        <v>2360</v>
      </c>
      <c r="H5">
        <v>10</v>
      </c>
      <c r="I5">
        <v>0</v>
      </c>
      <c r="J5">
        <v>0</v>
      </c>
      <c r="K5" s="19">
        <v>0</v>
      </c>
      <c r="L5" s="8">
        <f t="shared" ref="L5:L10" si="0">SUM(E5:K5)</f>
        <v>5808</v>
      </c>
    </row>
    <row r="6" spans="1:12" x14ac:dyDescent="0.3">
      <c r="B6" s="15"/>
      <c r="C6" s="16">
        <v>2</v>
      </c>
      <c r="D6" s="20" t="s">
        <v>16</v>
      </c>
      <c r="E6" s="18">
        <v>71</v>
      </c>
      <c r="F6">
        <v>1549</v>
      </c>
      <c r="G6">
        <v>9505</v>
      </c>
      <c r="H6">
        <v>44</v>
      </c>
      <c r="I6">
        <v>151</v>
      </c>
      <c r="J6">
        <v>8</v>
      </c>
      <c r="K6" s="19">
        <v>0</v>
      </c>
      <c r="L6" s="8">
        <f t="shared" si="0"/>
        <v>11328</v>
      </c>
    </row>
    <row r="7" spans="1:12" x14ac:dyDescent="0.3">
      <c r="B7" s="15"/>
      <c r="C7" s="16">
        <v>3</v>
      </c>
      <c r="D7" s="17" t="s">
        <v>17</v>
      </c>
      <c r="E7" s="18">
        <v>0</v>
      </c>
      <c r="F7">
        <v>0</v>
      </c>
      <c r="G7">
        <v>108</v>
      </c>
      <c r="H7">
        <v>448</v>
      </c>
      <c r="I7">
        <v>20</v>
      </c>
      <c r="J7">
        <v>0</v>
      </c>
      <c r="K7" s="19">
        <v>0</v>
      </c>
      <c r="L7" s="8">
        <f t="shared" si="0"/>
        <v>576</v>
      </c>
    </row>
    <row r="8" spans="1:12" x14ac:dyDescent="0.3">
      <c r="B8" s="15"/>
      <c r="C8" s="16">
        <v>4</v>
      </c>
      <c r="D8" s="20" t="s">
        <v>18</v>
      </c>
      <c r="E8" s="18">
        <v>0</v>
      </c>
      <c r="F8">
        <v>0</v>
      </c>
      <c r="G8">
        <v>35</v>
      </c>
      <c r="H8">
        <v>83</v>
      </c>
      <c r="I8">
        <v>380</v>
      </c>
      <c r="J8">
        <v>126</v>
      </c>
      <c r="K8" s="19">
        <v>0</v>
      </c>
      <c r="L8" s="8">
        <f t="shared" si="0"/>
        <v>624</v>
      </c>
    </row>
    <row r="9" spans="1:12" x14ac:dyDescent="0.3">
      <c r="B9" s="15"/>
      <c r="C9" s="16">
        <v>5</v>
      </c>
      <c r="D9" s="17" t="s">
        <v>19</v>
      </c>
      <c r="E9" s="18">
        <v>0</v>
      </c>
      <c r="F9">
        <v>0</v>
      </c>
      <c r="G9">
        <v>0</v>
      </c>
      <c r="H9">
        <v>4</v>
      </c>
      <c r="I9">
        <v>44</v>
      </c>
      <c r="J9">
        <v>192</v>
      </c>
      <c r="K9" s="19">
        <v>0</v>
      </c>
      <c r="L9" s="8">
        <f t="shared" si="0"/>
        <v>240</v>
      </c>
    </row>
    <row r="10" spans="1:12" ht="15" thickBot="1" x14ac:dyDescent="0.35">
      <c r="B10" s="21"/>
      <c r="C10" s="22">
        <v>6</v>
      </c>
      <c r="D10" s="23" t="s">
        <v>20</v>
      </c>
      <c r="E10" s="24">
        <v>0</v>
      </c>
      <c r="F10" s="25">
        <v>0</v>
      </c>
      <c r="G10" s="25">
        <v>0</v>
      </c>
      <c r="H10" s="25">
        <v>0</v>
      </c>
      <c r="I10" s="25">
        <v>0</v>
      </c>
      <c r="J10" s="25">
        <v>55</v>
      </c>
      <c r="K10" s="26">
        <v>617</v>
      </c>
      <c r="L10" s="8">
        <f t="shared" si="0"/>
        <v>672</v>
      </c>
    </row>
    <row r="11" spans="1:12" x14ac:dyDescent="0.3">
      <c r="C11" s="16"/>
      <c r="E11" s="27" t="s">
        <v>23</v>
      </c>
      <c r="K11" s="28" t="s">
        <v>24</v>
      </c>
      <c r="L11" s="8">
        <f>SUM(L4:L10)</f>
        <v>95280</v>
      </c>
    </row>
  </sheetData>
  <mergeCells count="2">
    <mergeCell ref="E2:K2"/>
    <mergeCell ref="B4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39DC-C03B-4869-92EC-7591C9E83CED}">
  <dimension ref="A1:L11"/>
  <sheetViews>
    <sheetView workbookViewId="0"/>
  </sheetViews>
  <sheetFormatPr defaultRowHeight="14.4" x14ac:dyDescent="0.3"/>
  <sheetData>
    <row r="1" spans="1:12" ht="21.6" thickBot="1" x14ac:dyDescent="0.45">
      <c r="A1" s="30" t="s">
        <v>25</v>
      </c>
    </row>
    <row r="2" spans="1:12" ht="18" x14ac:dyDescent="0.35">
      <c r="E2" s="1" t="s">
        <v>13</v>
      </c>
      <c r="F2" s="2"/>
      <c r="G2" s="2"/>
      <c r="H2" s="2"/>
      <c r="I2" s="2"/>
      <c r="J2" s="2"/>
      <c r="K2" s="3"/>
    </row>
    <row r="3" spans="1:12" ht="28.2" thickBot="1" x14ac:dyDescent="0.35">
      <c r="E3" s="4" t="s">
        <v>14</v>
      </c>
      <c r="F3" s="5" t="s">
        <v>15</v>
      </c>
      <c r="G3" s="6" t="s">
        <v>16</v>
      </c>
      <c r="H3" s="5" t="s">
        <v>17</v>
      </c>
      <c r="I3" s="5" t="s">
        <v>18</v>
      </c>
      <c r="J3" s="5" t="s">
        <v>19</v>
      </c>
      <c r="K3" s="7" t="s">
        <v>20</v>
      </c>
      <c r="L3" s="8" t="s">
        <v>21</v>
      </c>
    </row>
    <row r="4" spans="1:12" x14ac:dyDescent="0.3">
      <c r="B4" s="9" t="s">
        <v>22</v>
      </c>
      <c r="C4" s="10">
        <v>0</v>
      </c>
      <c r="D4" s="11" t="s">
        <v>14</v>
      </c>
      <c r="E4" s="12">
        <v>1117171</v>
      </c>
      <c r="F4" s="13">
        <v>309</v>
      </c>
      <c r="G4" s="13">
        <v>1189</v>
      </c>
      <c r="H4" s="13">
        <v>52</v>
      </c>
      <c r="I4" s="13">
        <v>81</v>
      </c>
      <c r="J4" s="13">
        <v>42</v>
      </c>
      <c r="K4" s="14">
        <v>84</v>
      </c>
      <c r="L4" s="8">
        <f>SUM(E4:K4)</f>
        <v>1118928</v>
      </c>
    </row>
    <row r="5" spans="1:12" x14ac:dyDescent="0.3">
      <c r="B5" s="15"/>
      <c r="C5" s="16">
        <v>1</v>
      </c>
      <c r="D5" s="17" t="s">
        <v>15</v>
      </c>
      <c r="E5" s="18">
        <v>26</v>
      </c>
      <c r="F5">
        <v>95525</v>
      </c>
      <c r="G5">
        <v>1841</v>
      </c>
      <c r="H5">
        <v>0</v>
      </c>
      <c r="I5">
        <v>0</v>
      </c>
      <c r="J5">
        <v>0</v>
      </c>
      <c r="K5" s="19">
        <v>0</v>
      </c>
      <c r="L5" s="8">
        <f t="shared" ref="L5:L10" si="0">SUM(E5:K5)</f>
        <v>97392</v>
      </c>
    </row>
    <row r="6" spans="1:12" x14ac:dyDescent="0.3">
      <c r="B6" s="15"/>
      <c r="C6" s="16">
        <v>2</v>
      </c>
      <c r="D6" s="20" t="s">
        <v>16</v>
      </c>
      <c r="E6" s="18">
        <v>13</v>
      </c>
      <c r="F6">
        <v>94</v>
      </c>
      <c r="G6">
        <v>151622</v>
      </c>
      <c r="H6">
        <v>3</v>
      </c>
      <c r="I6">
        <v>140</v>
      </c>
      <c r="J6">
        <v>0</v>
      </c>
      <c r="K6" s="19">
        <v>0</v>
      </c>
      <c r="L6" s="8">
        <f t="shared" si="0"/>
        <v>151872</v>
      </c>
    </row>
    <row r="7" spans="1:12" x14ac:dyDescent="0.3">
      <c r="B7" s="15"/>
      <c r="C7" s="16">
        <v>3</v>
      </c>
      <c r="D7" s="17" t="s">
        <v>17</v>
      </c>
      <c r="E7" s="18">
        <v>0</v>
      </c>
      <c r="F7">
        <v>0</v>
      </c>
      <c r="G7">
        <v>0</v>
      </c>
      <c r="H7">
        <v>8304</v>
      </c>
      <c r="I7">
        <v>0</v>
      </c>
      <c r="J7">
        <v>0</v>
      </c>
      <c r="K7" s="19">
        <v>0</v>
      </c>
      <c r="L7" s="8">
        <f t="shared" si="0"/>
        <v>8304</v>
      </c>
    </row>
    <row r="8" spans="1:12" x14ac:dyDescent="0.3">
      <c r="B8" s="15"/>
      <c r="C8" s="16">
        <v>4</v>
      </c>
      <c r="D8" s="20" t="s">
        <v>18</v>
      </c>
      <c r="E8" s="18">
        <v>0</v>
      </c>
      <c r="F8">
        <v>0</v>
      </c>
      <c r="G8">
        <v>0</v>
      </c>
      <c r="H8">
        <v>0</v>
      </c>
      <c r="I8">
        <v>8976</v>
      </c>
      <c r="J8">
        <v>0</v>
      </c>
      <c r="K8" s="19">
        <v>0</v>
      </c>
      <c r="L8" s="8">
        <f t="shared" si="0"/>
        <v>8976</v>
      </c>
    </row>
    <row r="9" spans="1:12" x14ac:dyDescent="0.3">
      <c r="B9" s="15"/>
      <c r="C9" s="16">
        <v>5</v>
      </c>
      <c r="D9" s="17" t="s">
        <v>19</v>
      </c>
      <c r="E9" s="18">
        <v>0</v>
      </c>
      <c r="F9">
        <v>0</v>
      </c>
      <c r="G9">
        <v>0</v>
      </c>
      <c r="H9">
        <v>0</v>
      </c>
      <c r="I9">
        <v>0</v>
      </c>
      <c r="J9">
        <v>4320</v>
      </c>
      <c r="K9" s="19">
        <v>0</v>
      </c>
      <c r="L9" s="8">
        <f t="shared" si="0"/>
        <v>4320</v>
      </c>
    </row>
    <row r="10" spans="1:12" ht="15" thickBot="1" x14ac:dyDescent="0.35">
      <c r="B10" s="21"/>
      <c r="C10" s="22">
        <v>6</v>
      </c>
      <c r="D10" s="23" t="s">
        <v>20</v>
      </c>
      <c r="E10" s="24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6">
        <v>6144</v>
      </c>
      <c r="L10" s="8">
        <f t="shared" si="0"/>
        <v>6144</v>
      </c>
    </row>
    <row r="11" spans="1:12" x14ac:dyDescent="0.3">
      <c r="C11" s="16"/>
      <c r="E11" s="27" t="s">
        <v>23</v>
      </c>
      <c r="K11" s="28" t="s">
        <v>24</v>
      </c>
      <c r="L11" s="8">
        <f>SUM(L4:L10)</f>
        <v>1395936</v>
      </c>
    </row>
  </sheetData>
  <mergeCells count="2">
    <mergeCell ref="E2:K2"/>
    <mergeCell ref="B4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Figure_6A</vt:lpstr>
      <vt:lpstr>Figure_6B</vt:lpstr>
      <vt:lpstr>Figure_S7F1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Sluka, James Patrick</dc:creator>
  <cp:lastModifiedBy>Sluka, James Patrick</cp:lastModifiedBy>
  <dcterms:created xsi:type="dcterms:W3CDTF">2026-06-22T23:32:20Z</dcterms:created>
  <dcterms:modified xsi:type="dcterms:W3CDTF">2026-06-22T23:44:19Z</dcterms:modified>
</cp:coreProperties>
</file>